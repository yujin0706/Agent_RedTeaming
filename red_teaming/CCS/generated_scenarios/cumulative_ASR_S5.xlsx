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mulative AS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<sst xmlns="http://schemas.openxmlformats.org/spreadsheetml/2006/main" count="36" uniqueCount="36">
  <si>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Agent</t>
  </si>
  <si>
    <t xml:space="preserve">Position counts</t>
  </si>
  <si>
    <t xml:space="preserve">Cumulative ASR  (cumulative successes / Total)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</si>
  <si>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</si>
  <si>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</si>
  <si>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</si>
  <si>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</si>
  <si>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</si>
  <si>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X(fail)</t>
  </si>
  <si>
    <t xml:space="preserve">Total</t>
  </si>
  <si>
    <t xml:space="preserve">ASR@1</t>
  </si>
  <si>
    <t xml:space="preserve">ASR@2</t>
  </si>
  <si>
    <t xml:space="preserve">ASR@3</t>
  </si>
  <si>
    <t xml:space="preserve">ASR@4</t>
  </si>
  <si>
    <t xml:space="preserve">ASR@5</t>
  </si>
  <si>
    <t xml:space="preserve">banking_cs_agent</t>
  </si>
  <si>
    <t xml:space="preserve">ecommerce_operations_agent</t>
  </si>
  <si>
    <t xml:space="preserve">education_admin_agent</t>
  </si>
  <si>
    <t xml:space="preserve">government_service_agent</t>
  </si>
  <si>
    <t xml:space="preserve">hr_onboarding_agent</t>
  </si>
  <si>
    <t xml:space="preserve">insurance_claims_agent</t>
  </si>
  <si>
    <t xml:space="preserve">logistics_operations_agent</t>
  </si>
  <si>
    <t xml:space="preserve">medical_consultation_agent</t>
  </si>
  <si>
    <t xml:space="preserve">telecom_cs_agent</t>
  </si>
  <si>
    <t xml:space="preserve">travel_reservation_agent</t>
  </si>
  <si>
    <t xml:space="preserve">Worst case (MIN)</t>
  </si>
  <si>
    <t xml:space="preserve">Mean</t>
  </si>
  <si>
    <t xml:space="preserve">Marginal gain (mean Δ)</t>
  </si>
  <si>
    <t xml:space="preserve">—</t>
  </si>
  <si>
    <t xml:space="preserve">Definition:</t>
  </si>
  <si>
    <t xml:space="preserve">• Total = all scenarios per agent in S5 folder</t>
  </si>
  <si>
    <t xml:space="preserve">• ASR@k = (scenarios that succeeded within k trials) / Total</t>
  </si>
  <si>
    <t xml:space="preserve">• Position 6 (X) = all 5 trials failed (censored)</t>
  </si>
  <si>
    <t xml:space="preserve">Reading the table:</t>
  </si>
  <si>
    <t xml:space="preserve">• ASR@1 = first-try success rate (clean signal)</t>
  </si>
  <si>
    <t xml:space="preserve">• Marginal gain Δ near 0 → plateau reached → minimum N for saturation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</si>
</sst>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13" min="2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</row>
    <row r="2" customFormat="false" ht="15" hidden="false" customHeight="false" outlineLevel="0" collapsed="false">
      <c r="A2" s="1"/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</row>
    <row r="3" customFormat="false" ht="15" hidden="false" customHeight="false" outlineLevel="0" collapsed="false">
      <c r="A3" s="2" t="s">
        <v>15</v>
      </c>
      <c r="B3" s="3" t="n">
        <v>59</v>
      </c>
      <c r="C3" s="3" t="n">
        <v>4</v>
      </c>
      <c r="D3" s="3" t="n">
        <v>3</v>
      </c>
      <c r="E3" s="3" t="n">
        <v>0</v>
      </c>
      <c r="F3" s="3" t="n">
        <v>1</v>
      </c>
      <c r="G3" s="3" t="n">
        <v>28</v>
      </c>
      <c r="H3" s="3" t="n">
        <f aca="false">SUM(B3:G3)</f>
        <v>95</v>
      </c>
      <c r="I3" s="4" t="n">
        <f aca="false">B3/H3</f>
        <v>0.621052631578947</v>
      </c>
      <c r="J3" s="4" t="n">
        <f aca="false">SUM(B3:C3)/H3</f>
        <v>0.663157894736842</v>
      </c>
      <c r="K3" s="4" t="n">
        <f aca="false">SUM(B3:D3)/H3</f>
        <v>0.694736842105263</v>
      </c>
      <c r="L3" s="4" t="n">
        <f aca="false">SUM(B3:E3)/H3</f>
        <v>0.694736842105263</v>
      </c>
      <c r="M3" s="4" t="n">
        <f aca="false">SUM(B3:F3)/H3</f>
        <v>0.705263157894737</v>
      </c>
    </row>
    <row r="4" customFormat="false" ht="15" hidden="false" customHeight="false" outlineLevel="0" collapsed="false">
      <c r="A4" s="2" t="s">
        <v>16</v>
      </c>
      <c r="B4" s="3" t="n">
        <v>75</v>
      </c>
      <c r="C4" s="3" t="n">
        <v>6</v>
      </c>
      <c r="D4" s="3" t="n">
        <v>2</v>
      </c>
      <c r="E4" s="3" t="n">
        <v>3</v>
      </c>
      <c r="F4" s="3" t="n">
        <v>1</v>
      </c>
      <c r="G4" s="3" t="n">
        <v>8</v>
      </c>
      <c r="H4" s="3" t="n">
        <f aca="false">SUM(B4:G4)</f>
        <v>95</v>
      </c>
      <c r="I4" s="4" t="n">
        <f aca="false">B4/H4</f>
        <v>0.789473684210526</v>
      </c>
      <c r="J4" s="4" t="n">
        <f aca="false">SUM(B4:C4)/H4</f>
        <v>0.852631578947368</v>
      </c>
      <c r="K4" s="4" t="n">
        <f aca="false">SUM(B4:D4)/H4</f>
        <v>0.873684210526316</v>
      </c>
      <c r="L4" s="4" t="n">
        <f aca="false">SUM(B4:E4)/H4</f>
        <v>0.905263157894737</v>
      </c>
      <c r="M4" s="4" t="n">
        <f aca="false">SUM(B4:F4)/H4</f>
        <v>0.915789473684211</v>
      </c>
    </row>
    <row r="5" customFormat="false" ht="15" hidden="false" customHeight="false" outlineLevel="0" collapsed="false">
      <c r="A5" s="2" t="s">
        <v>17</v>
      </c>
      <c r="B5" s="3" t="n">
        <v>72</v>
      </c>
      <c r="C5" s="3" t="n">
        <v>3</v>
      </c>
      <c r="D5" s="3" t="n">
        <v>2</v>
      </c>
      <c r="E5" s="3" t="n">
        <v>2</v>
      </c>
      <c r="F5" s="3" t="n">
        <v>1</v>
      </c>
      <c r="G5" s="3" t="n">
        <v>15</v>
      </c>
      <c r="H5" s="3" t="n">
        <f aca="false">SUM(B5:G5)</f>
        <v>95</v>
      </c>
      <c r="I5" s="4" t="n">
        <f aca="false">B5/H5</f>
        <v>0.757894736842105</v>
      </c>
      <c r="J5" s="4" t="n">
        <f aca="false">SUM(B5:C5)/H5</f>
        <v>0.789473684210526</v>
      </c>
      <c r="K5" s="4" t="n">
        <f aca="false">SUM(B5:D5)/H5</f>
        <v>0.810526315789474</v>
      </c>
      <c r="L5" s="4" t="n">
        <f aca="false">SUM(B5:E5)/H5</f>
        <v>0.831578947368421</v>
      </c>
      <c r="M5" s="4" t="n">
        <f aca="false">SUM(B5:F5)/H5</f>
        <v>0.842105263157895</v>
      </c>
    </row>
    <row r="6" customFormat="false" ht="15" hidden="false" customHeight="false" outlineLevel="0" collapsed="false">
      <c r="A6" s="2" t="s">
        <v>18</v>
      </c>
      <c r="B6" s="3" t="n">
        <v>60</v>
      </c>
      <c r="C6" s="3" t="n">
        <v>8</v>
      </c>
      <c r="D6" s="3" t="n">
        <v>4</v>
      </c>
      <c r="E6" s="3" t="n">
        <v>0</v>
      </c>
      <c r="F6" s="3" t="n">
        <v>1</v>
      </c>
      <c r="G6" s="3" t="n">
        <v>22</v>
      </c>
      <c r="H6" s="3" t="n">
        <f aca="false">SUM(B6:G6)</f>
        <v>95</v>
      </c>
      <c r="I6" s="4" t="n">
        <f aca="false">B6/H6</f>
        <v>0.631578947368421</v>
      </c>
      <c r="J6" s="4" t="n">
        <f aca="false">SUM(B6:C6)/H6</f>
        <v>0.715789473684211</v>
      </c>
      <c r="K6" s="4" t="n">
        <f aca="false">SUM(B6:D6)/H6</f>
        <v>0.757894736842105</v>
      </c>
      <c r="L6" s="4" t="n">
        <f aca="false">SUM(B6:E6)/H6</f>
        <v>0.757894736842105</v>
      </c>
      <c r="M6" s="4" t="n">
        <f aca="false">SUM(B6:F6)/H6</f>
        <v>0.768421052631579</v>
      </c>
    </row>
    <row r="7" customFormat="false" ht="15" hidden="false" customHeight="false" outlineLevel="0" collapsed="false">
      <c r="A7" s="2" t="s">
        <v>19</v>
      </c>
      <c r="B7" s="3" t="n">
        <v>70</v>
      </c>
      <c r="C7" s="3" t="n">
        <v>6</v>
      </c>
      <c r="D7" s="3" t="n">
        <v>4</v>
      </c>
      <c r="E7" s="3" t="n">
        <v>0</v>
      </c>
      <c r="F7" s="3" t="n">
        <v>1</v>
      </c>
      <c r="G7" s="3" t="n">
        <v>14</v>
      </c>
      <c r="H7" s="3" t="n">
        <f aca="false">SUM(B7:G7)</f>
        <v>95</v>
      </c>
      <c r="I7" s="4" t="n">
        <f aca="false">B7/H7</f>
        <v>0.736842105263158</v>
      </c>
      <c r="J7" s="4" t="n">
        <f aca="false">SUM(B7:C7)/H7</f>
        <v>0.8</v>
      </c>
      <c r="K7" s="4" t="n">
        <f aca="false">SUM(B7:D7)/H7</f>
        <v>0.842105263157895</v>
      </c>
      <c r="L7" s="4" t="n">
        <f aca="false">SUM(B7:E7)/H7</f>
        <v>0.842105263157895</v>
      </c>
      <c r="M7" s="4" t="n">
        <f aca="false">SUM(B7:F7)/H7</f>
        <v>0.852631578947368</v>
      </c>
    </row>
    <row r="8" customFormat="false" ht="15" hidden="false" customHeight="false" outlineLevel="0" collapsed="false">
      <c r="A8" s="2" t="s">
        <v>20</v>
      </c>
      <c r="B8" s="3" t="n">
        <v>72</v>
      </c>
      <c r="C8" s="3" t="n">
        <v>5</v>
      </c>
      <c r="D8" s="3" t="n">
        <v>1</v>
      </c>
      <c r="E8" s="3" t="n">
        <v>2</v>
      </c>
      <c r="F8" s="3" t="n">
        <v>0</v>
      </c>
      <c r="G8" s="3" t="n">
        <v>15</v>
      </c>
      <c r="H8" s="3" t="n">
        <f aca="false">SUM(B8:G8)</f>
        <v>95</v>
      </c>
      <c r="I8" s="4" t="n">
        <f aca="false">B8/H8</f>
        <v>0.757894736842105</v>
      </c>
      <c r="J8" s="4" t="n">
        <f aca="false">SUM(B8:C8)/H8</f>
        <v>0.810526315789474</v>
      </c>
      <c r="K8" s="4" t="n">
        <f aca="false">SUM(B8:D8)/H8</f>
        <v>0.821052631578947</v>
      </c>
      <c r="L8" s="4" t="n">
        <f aca="false">SUM(B8:E8)/H8</f>
        <v>0.842105263157895</v>
      </c>
      <c r="M8" s="4" t="n">
        <f aca="false">SUM(B8:F8)/H8</f>
        <v>0.842105263157895</v>
      </c>
    </row>
    <row r="9" customFormat="false" ht="15" hidden="false" customHeight="false" outlineLevel="0" collapsed="false">
      <c r="A9" s="2" t="s">
        <v>21</v>
      </c>
      <c r="B9" s="3" t="n">
        <v>60</v>
      </c>
      <c r="C9" s="3" t="n">
        <v>7</v>
      </c>
      <c r="D9" s="3" t="n">
        <v>4</v>
      </c>
      <c r="E9" s="3" t="n">
        <v>3</v>
      </c>
      <c r="F9" s="3" t="n">
        <v>1</v>
      </c>
      <c r="G9" s="3" t="n">
        <v>20</v>
      </c>
      <c r="H9" s="3" t="n">
        <f aca="false">SUM(B9:G9)</f>
        <v>95</v>
      </c>
      <c r="I9" s="4" t="n">
        <f aca="false">B9/H9</f>
        <v>0.631578947368421</v>
      </c>
      <c r="J9" s="4" t="n">
        <f aca="false">SUM(B9:C9)/H9</f>
        <v>0.705263157894737</v>
      </c>
      <c r="K9" s="4" t="n">
        <f aca="false">SUM(B9:D9)/H9</f>
        <v>0.747368421052632</v>
      </c>
      <c r="L9" s="4" t="n">
        <f aca="false">SUM(B9:E9)/H9</f>
        <v>0.778947368421053</v>
      </c>
      <c r="M9" s="4" t="n">
        <f aca="false">SUM(B9:F9)/H9</f>
        <v>0.789473684210526</v>
      </c>
    </row>
    <row r="10" customFormat="false" ht="15" hidden="false" customHeight="false" outlineLevel="0" collapsed="false">
      <c r="A10" s="2" t="s">
        <v>22</v>
      </c>
      <c r="B10" s="3" t="n">
        <v>77</v>
      </c>
      <c r="C10" s="3" t="n">
        <v>2</v>
      </c>
      <c r="D10" s="3" t="n">
        <v>3</v>
      </c>
      <c r="E10" s="3" t="n">
        <v>1</v>
      </c>
      <c r="F10" s="3" t="n">
        <v>0</v>
      </c>
      <c r="G10" s="3" t="n">
        <v>12</v>
      </c>
      <c r="H10" s="3" t="n">
        <f aca="false">SUM(B10:G10)</f>
        <v>95</v>
      </c>
      <c r="I10" s="4" t="n">
        <f aca="false">B10/H10</f>
        <v>0.810526315789474</v>
      </c>
      <c r="J10" s="4" t="n">
        <f aca="false">SUM(B10:C10)/H10</f>
        <v>0.831578947368421</v>
      </c>
      <c r="K10" s="4" t="n">
        <f aca="false">SUM(B10:D10)/H10</f>
        <v>0.863157894736842</v>
      </c>
      <c r="L10" s="4" t="n">
        <f aca="false">SUM(B10:E10)/H10</f>
        <v>0.873684210526316</v>
      </c>
      <c r="M10" s="4" t="n">
        <f aca="false">SUM(B10:F10)/H10</f>
        <v>0.873684210526316</v>
      </c>
    </row>
    <row r="11" customFormat="false" ht="15" hidden="false" customHeight="false" outlineLevel="0" collapsed="false">
      <c r="A11" s="2" t="s">
        <v>23</v>
      </c>
      <c r="B11" s="3" t="n">
        <v>68</v>
      </c>
      <c r="C11" s="3" t="n">
        <v>4</v>
      </c>
      <c r="D11" s="3" t="n">
        <v>2</v>
      </c>
      <c r="E11" s="3" t="n">
        <v>1</v>
      </c>
      <c r="F11" s="3" t="n">
        <v>1</v>
      </c>
      <c r="G11" s="3" t="n">
        <v>19</v>
      </c>
      <c r="H11" s="3" t="n">
        <f aca="false">SUM(B11:G11)</f>
        <v>95</v>
      </c>
      <c r="I11" s="4" t="n">
        <f aca="false">B11/H11</f>
        <v>0.715789473684211</v>
      </c>
      <c r="J11" s="4" t="n">
        <f aca="false">SUM(B11:C11)/H11</f>
        <v>0.757894736842105</v>
      </c>
      <c r="K11" s="4" t="n">
        <f aca="false">SUM(B11:D11)/H11</f>
        <v>0.778947368421053</v>
      </c>
      <c r="L11" s="4" t="n">
        <f aca="false">SUM(B11:E11)/H11</f>
        <v>0.789473684210526</v>
      </c>
      <c r="M11" s="4" t="n">
        <f aca="false">SUM(B11:F11)/H11</f>
        <v>0.8</v>
      </c>
    </row>
    <row r="12" customFormat="false" ht="15" hidden="false" customHeight="false" outlineLevel="0" collapsed="false">
      <c r="A12" s="2" t="s">
        <v>24</v>
      </c>
      <c r="B12" s="3" t="n">
        <v>68</v>
      </c>
      <c r="C12" s="3" t="n">
        <v>8</v>
      </c>
      <c r="D12" s="3" t="n">
        <v>2</v>
      </c>
      <c r="E12" s="3" t="n">
        <v>4</v>
      </c>
      <c r="F12" s="3" t="n">
        <v>0</v>
      </c>
      <c r="G12" s="3" t="n">
        <v>13</v>
      </c>
      <c r="H12" s="3" t="n">
        <f aca="false">SUM(B12:G12)</f>
        <v>95</v>
      </c>
      <c r="I12" s="4" t="n">
        <f aca="false">B12/H12</f>
        <v>0.715789473684211</v>
      </c>
      <c r="J12" s="4" t="n">
        <f aca="false">SUM(B12:C12)/H12</f>
        <v>0.8</v>
      </c>
      <c r="K12" s="4" t="n">
        <f aca="false">SUM(B12:D12)/H12</f>
        <v>0.821052631578947</v>
      </c>
      <c r="L12" s="4" t="n">
        <f aca="false">SUM(B12:E12)/H12</f>
        <v>0.863157894736842</v>
      </c>
      <c r="M12" s="4" t="n">
        <f aca="false">SUM(B12:F12)/H12</f>
        <v>0.863157894736842</v>
      </c>
    </row>
    <row r="13" customFormat="false" ht="15" hidden="false" customHeight="false" outlineLevel="0" collapsed="false">
      <c r="A13" s="5" t="s">
        <v>25</v>
      </c>
      <c r="B13" s="6"/>
      <c r="C13" s="6"/>
      <c r="D13" s="6"/>
      <c r="E13" s="6"/>
      <c r="F13" s="6"/>
      <c r="G13" s="6"/>
      <c r="H13" s="6"/>
      <c r="I13" s="7" t="n">
        <f aca="false">MIN(I3:I12)</f>
        <v>0.621052631578947</v>
      </c>
      <c r="J13" s="7" t="n">
        <f aca="false">MIN(J3:J12)</f>
        <v>0.663157894736842</v>
      </c>
      <c r="K13" s="7" t="n">
        <f aca="false">MIN(K3:K12)</f>
        <v>0.694736842105263</v>
      </c>
      <c r="L13" s="7" t="n">
        <f aca="false">MIN(L3:L12)</f>
        <v>0.694736842105263</v>
      </c>
      <c r="M13" s="7" t="n">
        <f aca="false">MIN(M3:M12)</f>
        <v>0.705263157894737</v>
      </c>
    </row>
    <row r="14" customFormat="false" ht="15" hidden="false" customHeight="false" outlineLevel="0" collapsed="false">
      <c r="A14" s="5" t="s">
        <v>26</v>
      </c>
      <c r="B14" s="6"/>
      <c r="C14" s="6"/>
      <c r="D14" s="6"/>
      <c r="E14" s="6"/>
      <c r="F14" s="6"/>
      <c r="G14" s="6"/>
      <c r="H14" s="6"/>
      <c r="I14" s="7" t="n">
        <f aca="false">AVERAGE(I3:I12)</f>
        <v>0.716842105263158</v>
      </c>
      <c r="J14" s="7" t="n">
        <f aca="false">AVERAGE(J3:J12)</f>
        <v>0.772631578947368</v>
      </c>
      <c r="K14" s="7" t="n">
        <f aca="false">AVERAGE(K3:K12)</f>
        <v>0.801052631578947</v>
      </c>
      <c r="L14" s="7" t="n">
        <f aca="false">AVERAGE(L3:L12)</f>
        <v>0.817894736842105</v>
      </c>
      <c r="M14" s="7" t="n">
        <f aca="false">AVERAGE(M3:M12)</f>
        <v>0.825263157894737</v>
      </c>
    </row>
    <row r="15" customFormat="false" ht="15" hidden="false" customHeight="false" outlineLevel="0" collapsed="false">
      <c r="A15" s="5" t="s">
        <v>27</v>
      </c>
      <c r="B15" s="6"/>
      <c r="C15" s="6"/>
      <c r="D15" s="6"/>
      <c r="E15" s="6"/>
      <c r="F15" s="6"/>
      <c r="G15" s="6"/>
      <c r="H15" s="6"/>
      <c r="I15" s="7" t="s">
        <v>28</v>
      </c>
      <c r="J15" s="7" t="n">
        <f aca="false">J14-I14</f>
        <v>0.0557894736842106</v>
      </c>
      <c r="K15" s="7" t="n">
        <f aca="false">K14-J14</f>
        <v>0.0284210526315789</v>
      </c>
      <c r="L15" s="7" t="n">
        <f aca="false">L14-K14</f>
        <v>0.0168421052631579</v>
      </c>
      <c r="M15" s="7" t="n">
        <f aca="false">M14-L14</f>
        <v>0.00736842105263169</v>
      </c>
    </row>
    <row r="18" customFormat="false" ht="15" hidden="false" customHeight="false" outlineLevel="0" collapsed="false">
      <c r="A18" s="8" t="s">
        <v>29</v>
      </c>
    </row>
    <row r="19" customFormat="false" ht="15" hidden="false" customHeight="false" outlineLevel="0" collapsed="false">
      <c r="A19" s="9" t="s">
        <v>30</v>
      </c>
    </row>
    <row r="20" customFormat="false" ht="15" hidden="false" customHeight="false" outlineLevel="0" collapsed="false">
      <c r="A20" s="9" t="s">
        <v>31</v>
      </c>
    </row>
    <row r="21" customFormat="false" ht="15" hidden="false" customHeight="false" outlineLevel="0" collapsed="false">
      <c r="A21" s="9" t="s">
        <v>32</v>
      </c>
    </row>
    <row r="22" customFormat="false" ht="15" hidden="false" customHeight="false" outlineLevel="0" collapsed="false">
      <c r="A22" s="9"/>
    </row>
    <row r="23" customFormat="false" ht="15" hidden="false" customHeight="false" outlineLevel="0" collapsed="false">
      <c r="A23" s="8" t="s">
        <v>33</v>
      </c>
    </row>
    <row r="24" customFormat="false" ht="15" hidden="false" customHeight="false" outlineLevel="0" collapsed="false">
      <c r="A24" s="9" t="s">
        <v>34</v>
      </c>
    </row>
    <row r="25" customFormat="false" ht="15" hidden="false" customHeight="false" outlineLevel="0" collapsed="false">
      <c r="A25" s="9" t="s">
        <v>35</v>
      </c>
    </row>
  </sheetData>
  <mergeCells count="2">
    <mergeCell ref="B1:H1"/>
    <mergeCell ref="I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2026-04-26T05:54:35Z</dcterms:created>
  <dc:creator>openpyxl</dc:creator>
  <dc:description/>
  <dc:language>en-US</dc:language>
  <cp:lastModifiedBy/>
  <dcterms:modified xsi:type="dcterms:W3CDTF">2026-04-26T05:54:35Z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