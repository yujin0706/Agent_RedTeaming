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roducibility &amp; Outli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<sst xmlns="http://schemas.openxmlformats.org/spreadsheetml/2006/main" count="30" uniqueCount="20">
  <si>
    <t xml:space="preserve">Agent</t>
  </si>
  <si>
    <t xml:space="preserve">Trace reproducibility μ(N)</t>
  </si>
  <si>
    <t xml:space="preserve">Outlier count O(N)</t>
  </si>
  <si>
    <t xml:space="preserve">Outlier rate ρ(N) = O/T  (%)</t>
  </si>
  <si>
    <t xml:space="preserve">N=1</t>
  </si>
  <si>
    <t xml:space="preserve">N=2</t>
  </si>
  <si>
    <t xml:space="preserve">N=3</t>
  </si>
  <si>
    <t xml:space="preserve">N=4</t>
  </si>
  <si>
    <t xml:space="preserve">N=5</t>
  </si>
  <si>
    <t xml:space="preserve">Banking</t>
  </si>
  <si>
    <t xml:space="preserve">E-commerce</t>
  </si>
  <si>
    <t xml:space="preserve">Education</t>
  </si>
  <si>
    <t xml:space="preserve">Government</t>
  </si>
  <si>
    <t xml:space="preserve">HR</t>
  </si>
  <si>
    <t xml:space="preserve">Insurance</t>
  </si>
  <si>
    <t xml:space="preserve">Logistics</t>
  </si>
  <si>
    <t xml:space="preserve">Medical</t>
  </si>
  <si>
    <t xml:space="preserve">Telecom</t>
  </si>
  <si>
    <t xml:space="preserve">Travel</t>
  </si>
  <si>
    <t xml:space="preserve">Mean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</si>
</sst>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00"/>
    <numFmt numFmtId="166" formatCode="0"/>
    <numFmt numFmtId="167" formatCode="0.00\%"/>
    <numFmt numFmtId="168" formatCode="0.0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2E5D8C"/>
        <bgColor rgb="FF333399"/>
      </patternFill>
    </fill>
    <fill>
      <patternFill patternType="solid">
        <fgColor rgb="FFD9E1F2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2E5D8C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16" min="2" style="0" width="10"/>
  </cols>
  <sheetData>
    <row r="1" customFormat="false" ht="15" hidden="false" customHeight="false" outlineLevel="0" collapsed="false">
      <c r="A1" s="1" t="s">
        <v>0</v>
      </c>
      <c r="B1" s="1" t="s">
        <v>1</v>
      </c>
      <c r="C1" s="1"/>
      <c r="D1" s="1"/>
      <c r="E1" s="1"/>
      <c r="F1" s="1"/>
      <c r="G1" s="1" t="s">
        <v>2</v>
      </c>
      <c r="H1" s="1"/>
      <c r="I1" s="1"/>
      <c r="J1" s="1"/>
      <c r="K1" s="1"/>
      <c r="L1" s="1" t="s">
        <v>3</v>
      </c>
      <c r="M1" s="1"/>
      <c r="N1" s="1"/>
      <c r="O1" s="1"/>
      <c r="P1" s="1"/>
    </row>
    <row r="2" customFormat="false" ht="15" hidden="false" customHeight="false" outlineLevel="0" collapsed="false">
      <c r="A2" s="1"/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4</v>
      </c>
      <c r="M2" s="1" t="s">
        <v>5</v>
      </c>
      <c r="N2" s="1" t="s">
        <v>6</v>
      </c>
      <c r="O2" s="1" t="s">
        <v>7</v>
      </c>
      <c r="P2" s="1" t="s">
        <v>8</v>
      </c>
    </row>
    <row r="3" customFormat="false" ht="15" hidden="false" customHeight="false" outlineLevel="0" collapsed="false">
      <c r="A3" s="2" t="s">
        <v>9</v>
      </c>
      <c r="B3" s="3" t="n">
        <v>0.9966</v>
      </c>
      <c r="C3" s="3" t="n">
        <v>0.9967</v>
      </c>
      <c r="D3" s="3" t="n">
        <v>0.9968</v>
      </c>
      <c r="E3" s="3" t="n">
        <v>0.9968</v>
      </c>
      <c r="F3" s="3" t="n">
        <v>0.997</v>
      </c>
      <c r="G3" s="4" t="n">
        <v>4</v>
      </c>
      <c r="H3" s="4" t="n">
        <v>6</v>
      </c>
      <c r="I3" s="4" t="n">
        <v>12</v>
      </c>
      <c r="J3" s="4" t="n">
        <v>20</v>
      </c>
      <c r="K3" s="4" t="n">
        <v>41</v>
      </c>
      <c r="L3" s="5" t="n">
        <f aca="false">G3/95*100</f>
        <v>4.21052631578947</v>
      </c>
      <c r="M3" s="5" t="n">
        <f aca="false">H3/285*100</f>
        <v>2.10526315789474</v>
      </c>
      <c r="N3" s="5" t="n">
        <f aca="false">I3/570*100</f>
        <v>2.10526315789474</v>
      </c>
      <c r="O3" s="5" t="n">
        <f aca="false">J3/950*100</f>
        <v>2.10526315789474</v>
      </c>
      <c r="P3" s="5" t="n">
        <f aca="false">K3/1425*100</f>
        <v>2.87719298245614</v>
      </c>
    </row>
    <row r="4" customFormat="false" ht="15" hidden="false" customHeight="false" outlineLevel="0" collapsed="false">
      <c r="A4" s="2" t="s">
        <v>10</v>
      </c>
      <c r="B4" s="3" t="n">
        <v>0.9962</v>
      </c>
      <c r="C4" s="3" t="n">
        <v>0.9963</v>
      </c>
      <c r="D4" s="3" t="n">
        <v>0.9966</v>
      </c>
      <c r="E4" s="3" t="n">
        <v>0.9966</v>
      </c>
      <c r="F4" s="3" t="n">
        <v>0.9966</v>
      </c>
      <c r="G4" s="4" t="n">
        <v>4</v>
      </c>
      <c r="H4" s="4" t="n">
        <v>14</v>
      </c>
      <c r="I4" s="4" t="n">
        <v>26</v>
      </c>
      <c r="J4" s="4" t="n">
        <v>35</v>
      </c>
      <c r="K4" s="4" t="n">
        <v>57</v>
      </c>
      <c r="L4" s="5" t="n">
        <f aca="false">G4/95*100</f>
        <v>4.21052631578947</v>
      </c>
      <c r="M4" s="5" t="n">
        <f aca="false">H4/285*100</f>
        <v>4.91228070175439</v>
      </c>
      <c r="N4" s="5" t="n">
        <f aca="false">I4/570*100</f>
        <v>4.56140350877193</v>
      </c>
      <c r="O4" s="5" t="n">
        <f aca="false">J4/950*100</f>
        <v>3.68421052631579</v>
      </c>
      <c r="P4" s="5" t="n">
        <f aca="false">K4/1425*100</f>
        <v>4</v>
      </c>
    </row>
    <row r="5" customFormat="false" ht="15" hidden="false" customHeight="false" outlineLevel="0" collapsed="false">
      <c r="A5" s="2" t="s">
        <v>11</v>
      </c>
      <c r="B5" s="3" t="n">
        <v>0.9965</v>
      </c>
      <c r="C5" s="3" t="n">
        <v>0.9964</v>
      </c>
      <c r="D5" s="3" t="n">
        <v>0.9966</v>
      </c>
      <c r="E5" s="3" t="n">
        <v>0.9966</v>
      </c>
      <c r="F5" s="3" t="n">
        <v>0.9967</v>
      </c>
      <c r="G5" s="4" t="n">
        <v>1</v>
      </c>
      <c r="H5" s="4" t="n">
        <v>4</v>
      </c>
      <c r="I5" s="4" t="n">
        <v>10</v>
      </c>
      <c r="J5" s="4" t="n">
        <v>20</v>
      </c>
      <c r="K5" s="4" t="n">
        <v>36</v>
      </c>
      <c r="L5" s="5" t="n">
        <f aca="false">G5/95*100</f>
        <v>1.05263157894737</v>
      </c>
      <c r="M5" s="5" t="n">
        <f aca="false">H5/285*100</f>
        <v>1.40350877192982</v>
      </c>
      <c r="N5" s="5" t="n">
        <f aca="false">I5/570*100</f>
        <v>1.75438596491228</v>
      </c>
      <c r="O5" s="5" t="n">
        <f aca="false">J5/950*100</f>
        <v>2.10526315789474</v>
      </c>
      <c r="P5" s="5" t="n">
        <f aca="false">K5/1425*100</f>
        <v>2.52631578947368</v>
      </c>
    </row>
    <row r="6" customFormat="false" ht="15" hidden="false" customHeight="false" outlineLevel="0" collapsed="false">
      <c r="A6" s="2" t="s">
        <v>12</v>
      </c>
      <c r="B6" s="3" t="n">
        <v>0.9964</v>
      </c>
      <c r="C6" s="3" t="n">
        <v>0.9971</v>
      </c>
      <c r="D6" s="3" t="n">
        <v>0.9973</v>
      </c>
      <c r="E6" s="3" t="n">
        <v>0.9972</v>
      </c>
      <c r="F6" s="3" t="n">
        <v>0.9974</v>
      </c>
      <c r="G6" s="4" t="n">
        <v>0</v>
      </c>
      <c r="H6" s="4" t="n">
        <v>0</v>
      </c>
      <c r="I6" s="4" t="n">
        <v>8</v>
      </c>
      <c r="J6" s="4" t="n">
        <v>18</v>
      </c>
      <c r="K6" s="4" t="n">
        <v>32</v>
      </c>
      <c r="L6" s="5" t="n">
        <f aca="false">G6/95*100</f>
        <v>0</v>
      </c>
      <c r="M6" s="5" t="n">
        <f aca="false">H6/285*100</f>
        <v>0</v>
      </c>
      <c r="N6" s="5" t="n">
        <f aca="false">I6/570*100</f>
        <v>1.40350877192982</v>
      </c>
      <c r="O6" s="5" t="n">
        <f aca="false">J6/950*100</f>
        <v>1.89473684210526</v>
      </c>
      <c r="P6" s="5" t="n">
        <f aca="false">K6/1425*100</f>
        <v>2.24561403508772</v>
      </c>
    </row>
    <row r="7" customFormat="false" ht="15" hidden="false" customHeight="false" outlineLevel="0" collapsed="false">
      <c r="A7" s="2" t="s">
        <v>13</v>
      </c>
      <c r="B7" s="3" t="n">
        <v>0.9959</v>
      </c>
      <c r="C7" s="3" t="n">
        <v>0.9967</v>
      </c>
      <c r="D7" s="3" t="n">
        <v>0.9969</v>
      </c>
      <c r="E7" s="3" t="n">
        <v>0.9971</v>
      </c>
      <c r="F7" s="3" t="n">
        <v>0.9971</v>
      </c>
      <c r="G7" s="4" t="n">
        <v>2</v>
      </c>
      <c r="H7" s="4" t="n">
        <v>2</v>
      </c>
      <c r="I7" s="4" t="n">
        <v>9</v>
      </c>
      <c r="J7" s="4" t="n">
        <v>11</v>
      </c>
      <c r="K7" s="4" t="n">
        <v>23</v>
      </c>
      <c r="L7" s="5" t="n">
        <f aca="false">G7/95*100</f>
        <v>2.10526315789474</v>
      </c>
      <c r="M7" s="5" t="n">
        <f aca="false">H7/285*100</f>
        <v>0.701754385964912</v>
      </c>
      <c r="N7" s="5" t="n">
        <f aca="false">I7/570*100</f>
        <v>1.57894736842105</v>
      </c>
      <c r="O7" s="5" t="n">
        <f aca="false">J7/950*100</f>
        <v>1.15789473684211</v>
      </c>
      <c r="P7" s="5" t="n">
        <f aca="false">K7/1425*100</f>
        <v>1.6140350877193</v>
      </c>
    </row>
    <row r="8" customFormat="false" ht="15" hidden="false" customHeight="false" outlineLevel="0" collapsed="false">
      <c r="A8" s="2" t="s">
        <v>14</v>
      </c>
      <c r="B8" s="3" t="n">
        <v>0.9967</v>
      </c>
      <c r="C8" s="3" t="n">
        <v>0.9961</v>
      </c>
      <c r="D8" s="3" t="n">
        <v>0.9962</v>
      </c>
      <c r="E8" s="3" t="n">
        <v>0.9963</v>
      </c>
      <c r="F8" s="3" t="n">
        <v>0.9966</v>
      </c>
      <c r="G8" s="4" t="n">
        <v>3</v>
      </c>
      <c r="H8" s="4" t="n">
        <v>16</v>
      </c>
      <c r="I8" s="4" t="n">
        <v>30</v>
      </c>
      <c r="J8" s="4" t="n">
        <v>44</v>
      </c>
      <c r="K8" s="4" t="n">
        <v>57</v>
      </c>
      <c r="L8" s="5" t="n">
        <f aca="false">G8/95*100</f>
        <v>3.15789473684211</v>
      </c>
      <c r="M8" s="5" t="n">
        <f aca="false">H8/285*100</f>
        <v>5.6140350877193</v>
      </c>
      <c r="N8" s="5" t="n">
        <f aca="false">I8/570*100</f>
        <v>5.26315789473684</v>
      </c>
      <c r="O8" s="5" t="n">
        <f aca="false">J8/950*100</f>
        <v>4.63157894736842</v>
      </c>
      <c r="P8" s="5" t="n">
        <f aca="false">K8/1425*100</f>
        <v>4</v>
      </c>
    </row>
    <row r="9" customFormat="false" ht="15" hidden="false" customHeight="false" outlineLevel="0" collapsed="false">
      <c r="A9" s="2" t="s">
        <v>15</v>
      </c>
      <c r="B9" s="3" t="n">
        <v>0.9969</v>
      </c>
      <c r="C9" s="3" t="n">
        <v>0.997</v>
      </c>
      <c r="D9" s="3" t="n">
        <v>0.9972</v>
      </c>
      <c r="E9" s="3" t="n">
        <v>0.9972</v>
      </c>
      <c r="F9" s="3" t="n">
        <v>0.9972</v>
      </c>
      <c r="G9" s="4" t="n">
        <v>4</v>
      </c>
      <c r="H9" s="4" t="n">
        <v>4</v>
      </c>
      <c r="I9" s="4" t="n">
        <v>7</v>
      </c>
      <c r="J9" s="4" t="n">
        <v>16</v>
      </c>
      <c r="K9" s="4" t="n">
        <v>30</v>
      </c>
      <c r="L9" s="5" t="n">
        <f aca="false">G9/95*100</f>
        <v>4.21052631578947</v>
      </c>
      <c r="M9" s="5" t="n">
        <f aca="false">H9/285*100</f>
        <v>1.40350877192982</v>
      </c>
      <c r="N9" s="5" t="n">
        <f aca="false">I9/570*100</f>
        <v>1.2280701754386</v>
      </c>
      <c r="O9" s="5" t="n">
        <f aca="false">J9/950*100</f>
        <v>1.68421052631579</v>
      </c>
      <c r="P9" s="5" t="n">
        <f aca="false">K9/1425*100</f>
        <v>2.10526315789474</v>
      </c>
    </row>
    <row r="10" customFormat="false" ht="15" hidden="false" customHeight="false" outlineLevel="0" collapsed="false">
      <c r="A10" s="2" t="s">
        <v>16</v>
      </c>
      <c r="B10" s="3" t="n">
        <v>0.9977</v>
      </c>
      <c r="C10" s="3" t="n">
        <v>0.9977</v>
      </c>
      <c r="D10" s="3" t="n">
        <v>0.9975</v>
      </c>
      <c r="E10" s="3" t="n">
        <v>0.9978</v>
      </c>
      <c r="F10" s="3" t="n">
        <v>0.9978</v>
      </c>
      <c r="G10" s="4" t="n">
        <v>0</v>
      </c>
      <c r="H10" s="4" t="n">
        <v>4</v>
      </c>
      <c r="I10" s="4" t="n">
        <v>12</v>
      </c>
      <c r="J10" s="4" t="n">
        <v>20</v>
      </c>
      <c r="K10" s="4" t="n">
        <v>35</v>
      </c>
      <c r="L10" s="5" t="n">
        <f aca="false">G10/95*100</f>
        <v>0</v>
      </c>
      <c r="M10" s="5" t="n">
        <f aca="false">H10/285*100</f>
        <v>1.40350877192982</v>
      </c>
      <c r="N10" s="5" t="n">
        <f aca="false">I10/570*100</f>
        <v>2.10526315789474</v>
      </c>
      <c r="O10" s="5" t="n">
        <f aca="false">J10/950*100</f>
        <v>2.10526315789474</v>
      </c>
      <c r="P10" s="5" t="n">
        <f aca="false">K10/1425*100</f>
        <v>2.45614035087719</v>
      </c>
    </row>
    <row r="11" customFormat="false" ht="15" hidden="false" customHeight="false" outlineLevel="0" collapsed="false">
      <c r="A11" s="2" t="s">
        <v>17</v>
      </c>
      <c r="B11" s="3" t="n">
        <v>0.9968</v>
      </c>
      <c r="C11" s="3" t="n">
        <v>0.9964</v>
      </c>
      <c r="D11" s="3" t="n">
        <v>0.996</v>
      </c>
      <c r="E11" s="3" t="n">
        <v>0.9962</v>
      </c>
      <c r="F11" s="3" t="n">
        <v>0.9965</v>
      </c>
      <c r="G11" s="4" t="n">
        <v>3</v>
      </c>
      <c r="H11" s="4" t="n">
        <v>6</v>
      </c>
      <c r="I11" s="4" t="n">
        <v>14</v>
      </c>
      <c r="J11" s="4" t="n">
        <v>26</v>
      </c>
      <c r="K11" s="4" t="n">
        <v>37</v>
      </c>
      <c r="L11" s="5" t="n">
        <f aca="false">G11/95*100</f>
        <v>3.15789473684211</v>
      </c>
      <c r="M11" s="5" t="n">
        <f aca="false">H11/285*100</f>
        <v>2.10526315789474</v>
      </c>
      <c r="N11" s="5" t="n">
        <f aca="false">I11/570*100</f>
        <v>2.45614035087719</v>
      </c>
      <c r="O11" s="5" t="n">
        <f aca="false">J11/950*100</f>
        <v>2.73684210526316</v>
      </c>
      <c r="P11" s="5" t="n">
        <f aca="false">K11/1425*100</f>
        <v>2.59649122807018</v>
      </c>
    </row>
    <row r="12" customFormat="false" ht="15" hidden="false" customHeight="false" outlineLevel="0" collapsed="false">
      <c r="A12" s="2" t="s">
        <v>18</v>
      </c>
      <c r="B12" s="3" t="n">
        <v>0.9969</v>
      </c>
      <c r="C12" s="3" t="n">
        <v>0.9973</v>
      </c>
      <c r="D12" s="3" t="n">
        <v>0.9973</v>
      </c>
      <c r="E12" s="3" t="n">
        <v>0.997</v>
      </c>
      <c r="F12" s="3" t="n">
        <v>0.9966</v>
      </c>
      <c r="G12" s="4" t="n">
        <v>2</v>
      </c>
      <c r="H12" s="4" t="n">
        <v>6</v>
      </c>
      <c r="I12" s="4" t="n">
        <v>19</v>
      </c>
      <c r="J12" s="4" t="n">
        <v>33</v>
      </c>
      <c r="K12" s="4" t="n">
        <v>49</v>
      </c>
      <c r="L12" s="5" t="n">
        <f aca="false">G12/95*100</f>
        <v>2.10526315789474</v>
      </c>
      <c r="M12" s="5" t="n">
        <f aca="false">H12/285*100</f>
        <v>2.10526315789474</v>
      </c>
      <c r="N12" s="5" t="n">
        <f aca="false">I12/570*100</f>
        <v>3.33333333333333</v>
      </c>
      <c r="O12" s="5" t="n">
        <f aca="false">J12/950*100</f>
        <v>3.47368421052632</v>
      </c>
      <c r="P12" s="5" t="n">
        <f aca="false">K12/1425*100</f>
        <v>3.43859649122807</v>
      </c>
    </row>
    <row r="13" customFormat="false" ht="15" hidden="false" customHeight="false" outlineLevel="0" collapsed="false">
      <c r="A13" s="6" t="s">
        <v>19</v>
      </c>
      <c r="B13" s="7" t="n">
        <f aca="false">AVERAGE(B3:B12)</f>
        <v>0.99666</v>
      </c>
      <c r="C13" s="7" t="n">
        <f aca="false">AVERAGE(C3:C12)</f>
        <v>0.99677</v>
      </c>
      <c r="D13" s="7" t="n">
        <f aca="false">AVERAGE(D3:D12)</f>
        <v>0.99684</v>
      </c>
      <c r="E13" s="7" t="n">
        <f aca="false">AVERAGE(E3:E12)</f>
        <v>0.99688</v>
      </c>
      <c r="F13" s="7" t="n">
        <f aca="false">AVERAGE(F3:F12)</f>
        <v>0.99695</v>
      </c>
      <c r="G13" s="8" t="n">
        <f aca="false">AVERAGE(G3:G12)</f>
        <v>2.3</v>
      </c>
      <c r="H13" s="8" t="n">
        <f aca="false">AVERAGE(H3:H12)</f>
        <v>6.2</v>
      </c>
      <c r="I13" s="8" t="n">
        <f aca="false">AVERAGE(I3:I12)</f>
        <v>14.7</v>
      </c>
      <c r="J13" s="8" t="n">
        <f aca="false">AVERAGE(J3:J12)</f>
        <v>24.3</v>
      </c>
      <c r="K13" s="8" t="n">
        <f aca="false">AVERAGE(K3:K12)</f>
        <v>39.7</v>
      </c>
      <c r="L13" s="9" t="n">
        <f aca="false">AVERAGE(L3:L12)</f>
        <v>2.42105263157895</v>
      </c>
      <c r="M13" s="9" t="n">
        <f aca="false">AVERAGE(M3:M12)</f>
        <v>2.17543859649123</v>
      </c>
      <c r="N13" s="9" t="n">
        <f aca="false">AVERAGE(N3:N12)</f>
        <v>2.57894736842105</v>
      </c>
      <c r="O13" s="9" t="n">
        <f aca="false">AVERAGE(O3:O12)</f>
        <v>2.55789473684211</v>
      </c>
      <c r="P13" s="9" t="n">
        <f aca="false">AVERAGE(P3:P12)</f>
        <v>2.7859649122807</v>
      </c>
    </row>
  </sheetData>
  <mergeCells count="3">
    <mergeCell ref="B1:F1"/>
    <mergeCell ref="G1:K1"/>
    <mergeCell ref="L1:P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2026-04-26T07:25:57Z</dcterms:created>
  <dc:creator>openpyxl</dc:creator>
  <dc:description/>
  <dc:language>en-US</dc:language>
  <cp:lastModifiedBy/>
  <dcterms:modified xsi:type="dcterms:W3CDTF">2026-04-26T07:25:57Z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